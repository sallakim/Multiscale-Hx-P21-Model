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la\Documents\GitHub\Multiscale-Hx-P21-Model\"/>
    </mc:Choice>
  </mc:AlternateContent>
  <xr:revisionPtr revIDLastSave="0" documentId="13_ncr:1_{5B7BA2C6-A49E-473B-AE12-C38A4005FD70}" xr6:coauthVersionLast="47" xr6:coauthVersionMax="47" xr10:uidLastSave="{00000000-0000-0000-0000-000000000000}"/>
  <bookViews>
    <workbookView xWindow="9510" yWindow="0" windowWidth="9780" windowHeight="11370" xr2:uid="{7BBE441A-E603-4CF6-821C-8B1845DFF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R25" i="1"/>
  <c r="R22" i="1"/>
  <c r="Q25" i="1"/>
  <c r="R23" i="1"/>
  <c r="R24" i="1"/>
  <c r="Q24" i="1"/>
  <c r="Q23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  <c r="O24" i="1"/>
  <c r="N24" i="1"/>
  <c r="M24" i="1"/>
  <c r="L24" i="1"/>
  <c r="K24" i="1"/>
  <c r="J24" i="1"/>
  <c r="O23" i="1"/>
  <c r="N23" i="1"/>
  <c r="M23" i="1"/>
  <c r="L23" i="1"/>
  <c r="K23" i="1"/>
  <c r="J23" i="1"/>
  <c r="I24" i="1"/>
  <c r="I23" i="1"/>
</calcChain>
</file>

<file path=xl/sharedStrings.xml><?xml version="1.0" encoding="utf-8"?>
<sst xmlns="http://schemas.openxmlformats.org/spreadsheetml/2006/main" count="55" uniqueCount="21">
  <si>
    <t>AnimalID</t>
  </si>
  <si>
    <t>Condition</t>
  </si>
  <si>
    <t>Sex</t>
  </si>
  <si>
    <t>Age</t>
  </si>
  <si>
    <t>Bodyweight</t>
  </si>
  <si>
    <t>StrokeVolume</t>
  </si>
  <si>
    <t>RVESP</t>
  </si>
  <si>
    <t>LVESP</t>
  </si>
  <si>
    <t>LVEDP</t>
  </si>
  <si>
    <t>RVEDP</t>
  </si>
  <si>
    <t>LVESV</t>
  </si>
  <si>
    <t>RVESV</t>
  </si>
  <si>
    <t>Hx</t>
  </si>
  <si>
    <t>HeartPeriod</t>
  </si>
  <si>
    <t>Nx</t>
  </si>
  <si>
    <t>M</t>
  </si>
  <si>
    <t>F</t>
  </si>
  <si>
    <t>RVWeightRatio</t>
  </si>
  <si>
    <t>LVAndSeptumWeightRatio</t>
  </si>
  <si>
    <t>RV EDV</t>
  </si>
  <si>
    <t>LV 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</si>
</sst>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indent="2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A1BE-36FE-41E6-81C7-C69975B03ADA}">
  <dimension ref="A1:R25"/>
  <sheetViews>
    <sheetView tabSelected="1" topLeftCell="I1" zoomScale="86" zoomScaleNormal="86" workbookViewId="0">
      <selection activeCell="M14" sqref="M14"/>
    </sheetView>
  </sheetViews>
  <sheetFormatPr defaultRowHeight="14.5" x14ac:dyDescent="0.35"/>
  <cols>
    <col min="5" max="6" width="11.54296875" customWidth="1"/>
    <col min="7" max="7" width="29.54296875" customWidth="1"/>
    <col min="8" max="8" width="19" customWidth="1"/>
    <col min="9" max="9" width="11.81640625" customWidth="1"/>
  </cols>
  <sheetData>
    <row r="1" spans="1:1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13</v>
      </c>
      <c r="F1" s="8" t="s">
        <v>4</v>
      </c>
      <c r="G1" s="8" t="s">
        <v>18</v>
      </c>
      <c r="H1" s="8" t="s">
        <v>17</v>
      </c>
      <c r="I1" s="8" t="s">
        <v>5</v>
      </c>
      <c r="J1" s="8" t="s">
        <v>7</v>
      </c>
      <c r="K1" s="8" t="s">
        <v>8</v>
      </c>
      <c r="L1" s="8" t="s">
        <v>6</v>
      </c>
      <c r="M1" s="8" t="s">
        <v>9</v>
      </c>
      <c r="N1" s="8" t="s">
        <v>10</v>
      </c>
      <c r="O1" s="8" t="s">
        <v>11</v>
      </c>
      <c r="Q1" s="8" t="s">
        <v>19</v>
      </c>
      <c r="R1" s="8" t="s">
        <v>20</v>
      </c>
    </row>
    <row r="2" spans="1:18" x14ac:dyDescent="0.35">
      <c r="A2">
        <v>1</v>
      </c>
      <c r="B2" s="1" t="s">
        <v>12</v>
      </c>
      <c r="C2" s="1" t="s">
        <v>15</v>
      </c>
      <c r="D2" s="1">
        <v>21</v>
      </c>
      <c r="E2" s="2">
        <v>0.2009</v>
      </c>
      <c r="F2" s="2">
        <v>51.63</v>
      </c>
      <c r="G2" s="1">
        <v>3.2</v>
      </c>
      <c r="H2" s="1">
        <v>1</v>
      </c>
      <c r="I2" s="2">
        <v>29</v>
      </c>
      <c r="J2" s="2">
        <v>73</v>
      </c>
      <c r="K2" s="2">
        <v>5</v>
      </c>
      <c r="L2" s="2">
        <v>30</v>
      </c>
      <c r="M2" s="2">
        <v>2</v>
      </c>
      <c r="N2" s="2">
        <v>19</v>
      </c>
      <c r="O2" s="2">
        <v>7</v>
      </c>
      <c r="Q2">
        <f>O2+I2</f>
        <v>36</v>
      </c>
      <c r="R2">
        <f>N2+I2</f>
        <v>48</v>
      </c>
    </row>
    <row r="3" spans="1:18" x14ac:dyDescent="0.35">
      <c r="A3">
        <v>4</v>
      </c>
      <c r="B3" s="1" t="s">
        <v>12</v>
      </c>
      <c r="C3" s="1" t="s">
        <v>16</v>
      </c>
      <c r="D3" s="1">
        <v>21</v>
      </c>
      <c r="E3" s="2">
        <v>0.1797</v>
      </c>
      <c r="F3" s="2">
        <v>50.1</v>
      </c>
      <c r="G3" s="1">
        <v>3.2</v>
      </c>
      <c r="H3" s="1">
        <v>1</v>
      </c>
      <c r="I3" s="2">
        <v>29</v>
      </c>
      <c r="J3" s="2">
        <v>87</v>
      </c>
      <c r="K3" s="2">
        <v>5</v>
      </c>
      <c r="L3" s="2">
        <v>36</v>
      </c>
      <c r="M3" s="2">
        <v>1</v>
      </c>
      <c r="N3" s="2">
        <v>9</v>
      </c>
      <c r="O3" s="2">
        <v>29</v>
      </c>
      <c r="Q3">
        <f t="shared" ref="Q3:Q20" si="0">O3+I3</f>
        <v>58</v>
      </c>
      <c r="R3">
        <f t="shared" ref="R3:R20" si="1">N3+I3</f>
        <v>38</v>
      </c>
    </row>
    <row r="4" spans="1:18" x14ac:dyDescent="0.35">
      <c r="A4">
        <v>5</v>
      </c>
      <c r="B4" s="1" t="s">
        <v>12</v>
      </c>
      <c r="C4" s="1" t="s">
        <v>16</v>
      </c>
      <c r="D4" s="1">
        <v>21</v>
      </c>
      <c r="E4" s="2">
        <v>0.18579999999999999</v>
      </c>
      <c r="F4" s="2">
        <v>49.8</v>
      </c>
      <c r="G4" s="1">
        <v>3.2</v>
      </c>
      <c r="H4" s="1">
        <v>1</v>
      </c>
      <c r="I4" s="2">
        <v>36</v>
      </c>
      <c r="J4" s="2">
        <v>74</v>
      </c>
      <c r="K4" s="2">
        <v>6</v>
      </c>
      <c r="L4" s="2">
        <v>42</v>
      </c>
      <c r="M4" s="2">
        <v>4</v>
      </c>
      <c r="N4" s="2">
        <v>12</v>
      </c>
      <c r="O4" s="2">
        <v>30</v>
      </c>
      <c r="Q4">
        <f t="shared" si="0"/>
        <v>66</v>
      </c>
      <c r="R4">
        <f t="shared" si="1"/>
        <v>48</v>
      </c>
    </row>
    <row r="5" spans="1:18" x14ac:dyDescent="0.35">
      <c r="A5">
        <v>7</v>
      </c>
      <c r="B5" s="1" t="s">
        <v>12</v>
      </c>
      <c r="C5" s="1" t="s">
        <v>15</v>
      </c>
      <c r="D5" s="1">
        <v>21</v>
      </c>
      <c r="E5" s="2">
        <v>0.157</v>
      </c>
      <c r="F5" s="2">
        <v>54.27</v>
      </c>
      <c r="G5" s="1">
        <v>3.2</v>
      </c>
      <c r="H5" s="1">
        <v>1</v>
      </c>
      <c r="I5" s="2">
        <v>31</v>
      </c>
      <c r="J5" s="2">
        <v>59</v>
      </c>
      <c r="K5" s="2">
        <v>8</v>
      </c>
      <c r="L5" s="2">
        <v>36</v>
      </c>
      <c r="M5" s="2">
        <v>3</v>
      </c>
      <c r="N5" s="2">
        <v>25</v>
      </c>
      <c r="O5" s="2">
        <v>23</v>
      </c>
      <c r="Q5">
        <f t="shared" si="0"/>
        <v>54</v>
      </c>
      <c r="R5">
        <f t="shared" si="1"/>
        <v>56</v>
      </c>
    </row>
    <row r="6" spans="1:18" x14ac:dyDescent="0.35">
      <c r="A6">
        <v>8</v>
      </c>
      <c r="B6" s="1" t="s">
        <v>12</v>
      </c>
      <c r="C6" s="1" t="s">
        <v>15</v>
      </c>
      <c r="D6" s="1">
        <v>21</v>
      </c>
      <c r="E6" s="2">
        <v>0.17019999999999999</v>
      </c>
      <c r="F6" s="2">
        <v>51.4</v>
      </c>
      <c r="G6" s="1">
        <v>3.2</v>
      </c>
      <c r="H6" s="1">
        <v>1</v>
      </c>
      <c r="I6" s="2">
        <v>13.5</v>
      </c>
      <c r="J6" s="2">
        <v>56</v>
      </c>
      <c r="K6" s="2">
        <v>5</v>
      </c>
      <c r="L6" s="2">
        <v>31</v>
      </c>
      <c r="M6" s="2">
        <v>4</v>
      </c>
      <c r="N6" s="2">
        <v>30</v>
      </c>
      <c r="O6" s="2">
        <v>22</v>
      </c>
      <c r="Q6">
        <f t="shared" si="0"/>
        <v>35.5</v>
      </c>
      <c r="R6">
        <f t="shared" si="1"/>
        <v>43.5</v>
      </c>
    </row>
    <row r="7" spans="1:18" x14ac:dyDescent="0.35">
      <c r="A7">
        <v>9</v>
      </c>
      <c r="B7" s="1" t="s">
        <v>12</v>
      </c>
      <c r="C7" s="1" t="s">
        <v>16</v>
      </c>
      <c r="D7" s="1">
        <v>21</v>
      </c>
      <c r="E7" s="2">
        <v>0.19120000000000001</v>
      </c>
      <c r="F7" s="2">
        <v>52.6</v>
      </c>
      <c r="G7" s="1">
        <v>3.2</v>
      </c>
      <c r="H7" s="1">
        <v>1</v>
      </c>
      <c r="I7" s="2">
        <v>29</v>
      </c>
      <c r="J7" s="2">
        <v>52</v>
      </c>
      <c r="K7" s="2">
        <v>3</v>
      </c>
      <c r="L7" s="2">
        <v>28</v>
      </c>
      <c r="M7" s="2">
        <v>4</v>
      </c>
      <c r="N7" s="2">
        <v>11</v>
      </c>
      <c r="O7" s="2">
        <v>20</v>
      </c>
      <c r="Q7">
        <f t="shared" si="0"/>
        <v>49</v>
      </c>
      <c r="R7">
        <f t="shared" si="1"/>
        <v>40</v>
      </c>
    </row>
    <row r="8" spans="1:18" x14ac:dyDescent="0.35">
      <c r="A8">
        <v>10</v>
      </c>
      <c r="B8" s="1" t="s">
        <v>12</v>
      </c>
      <c r="C8" s="1" t="s">
        <v>15</v>
      </c>
      <c r="D8" s="1">
        <v>21</v>
      </c>
      <c r="E8" s="2">
        <v>0.20050000000000001</v>
      </c>
      <c r="F8" s="2">
        <v>53.78</v>
      </c>
      <c r="G8" s="1">
        <v>3.2</v>
      </c>
      <c r="H8" s="1">
        <v>1</v>
      </c>
      <c r="I8" s="2">
        <v>21</v>
      </c>
      <c r="J8" s="2">
        <v>72</v>
      </c>
      <c r="K8" s="2">
        <v>5</v>
      </c>
      <c r="L8" s="2">
        <v>45</v>
      </c>
      <c r="M8" s="2">
        <v>4</v>
      </c>
      <c r="N8" s="2">
        <v>13</v>
      </c>
      <c r="O8" s="2">
        <v>16</v>
      </c>
      <c r="Q8">
        <f t="shared" si="0"/>
        <v>37</v>
      </c>
      <c r="R8">
        <f t="shared" si="1"/>
        <v>34</v>
      </c>
    </row>
    <row r="9" spans="1:18" x14ac:dyDescent="0.35">
      <c r="A9">
        <v>57</v>
      </c>
      <c r="B9" s="1" t="s">
        <v>12</v>
      </c>
      <c r="C9" s="1" t="s">
        <v>16</v>
      </c>
      <c r="D9" s="1">
        <v>21</v>
      </c>
      <c r="E9" s="2">
        <v>0.1673</v>
      </c>
      <c r="F9" s="2">
        <v>51.1</v>
      </c>
      <c r="G9" s="1">
        <v>3.2</v>
      </c>
      <c r="H9" s="1">
        <v>1</v>
      </c>
      <c r="I9" s="2">
        <v>32</v>
      </c>
      <c r="J9" s="2">
        <v>80</v>
      </c>
      <c r="K9" s="2">
        <v>3</v>
      </c>
      <c r="L9" s="2">
        <v>40</v>
      </c>
      <c r="M9" s="2">
        <v>3</v>
      </c>
      <c r="N9" s="2">
        <v>30</v>
      </c>
      <c r="O9" s="2">
        <v>30</v>
      </c>
      <c r="Q9">
        <f t="shared" si="0"/>
        <v>62</v>
      </c>
      <c r="R9">
        <f t="shared" si="1"/>
        <v>62</v>
      </c>
    </row>
    <row r="10" spans="1:18" x14ac:dyDescent="0.35">
      <c r="A10">
        <v>58</v>
      </c>
      <c r="B10" s="1" t="s">
        <v>12</v>
      </c>
      <c r="C10" s="1" t="s">
        <v>15</v>
      </c>
      <c r="D10" s="1">
        <v>21</v>
      </c>
      <c r="E10" s="2">
        <v>0.18729999999999999</v>
      </c>
      <c r="F10" s="2">
        <v>54.56</v>
      </c>
      <c r="G10" s="1">
        <v>3.2</v>
      </c>
      <c r="H10" s="1">
        <v>1</v>
      </c>
      <c r="I10" s="2">
        <v>40</v>
      </c>
      <c r="J10" s="2">
        <v>73</v>
      </c>
      <c r="K10" s="2">
        <v>5</v>
      </c>
      <c r="L10" s="2">
        <v>45</v>
      </c>
      <c r="M10" s="2">
        <v>5</v>
      </c>
      <c r="N10" s="2">
        <v>28</v>
      </c>
      <c r="O10" s="2">
        <v>33</v>
      </c>
      <c r="Q10">
        <f t="shared" si="0"/>
        <v>73</v>
      </c>
      <c r="R10">
        <f t="shared" si="1"/>
        <v>68</v>
      </c>
    </row>
    <row r="11" spans="1:18" x14ac:dyDescent="0.35">
      <c r="A11">
        <v>59</v>
      </c>
      <c r="B11" s="1" t="s">
        <v>12</v>
      </c>
      <c r="C11" s="1" t="s">
        <v>15</v>
      </c>
      <c r="D11" s="1">
        <v>21</v>
      </c>
      <c r="E11" s="2">
        <v>0.17799999999999999</v>
      </c>
      <c r="F11" s="2">
        <v>53.96</v>
      </c>
      <c r="G11" s="1">
        <v>3.2</v>
      </c>
      <c r="H11" s="1">
        <v>1</v>
      </c>
      <c r="I11" s="2">
        <v>26</v>
      </c>
      <c r="J11" s="2">
        <v>81</v>
      </c>
      <c r="K11" s="2">
        <v>5</v>
      </c>
      <c r="L11" s="2">
        <v>45</v>
      </c>
      <c r="M11" s="2">
        <v>4</v>
      </c>
      <c r="N11" s="2">
        <v>13</v>
      </c>
      <c r="O11" s="2">
        <v>20</v>
      </c>
      <c r="Q11">
        <f t="shared" si="0"/>
        <v>46</v>
      </c>
      <c r="R11">
        <f t="shared" si="1"/>
        <v>39</v>
      </c>
    </row>
    <row r="12" spans="1:18" x14ac:dyDescent="0.35">
      <c r="A12">
        <v>61</v>
      </c>
      <c r="B12" s="1" t="s">
        <v>12</v>
      </c>
      <c r="C12" s="1" t="s">
        <v>15</v>
      </c>
      <c r="D12" s="1">
        <v>21</v>
      </c>
      <c r="E12" s="2">
        <v>0.1547</v>
      </c>
      <c r="F12" s="2">
        <v>57.4</v>
      </c>
      <c r="G12" s="1">
        <v>3.2</v>
      </c>
      <c r="H12" s="1">
        <v>1</v>
      </c>
      <c r="I12" s="2">
        <v>23</v>
      </c>
      <c r="J12" s="2">
        <v>71</v>
      </c>
      <c r="K12" s="2">
        <v>4</v>
      </c>
      <c r="L12" s="2">
        <v>43</v>
      </c>
      <c r="M12" s="2">
        <v>5</v>
      </c>
      <c r="N12" s="2">
        <v>6</v>
      </c>
      <c r="O12" s="2">
        <v>10</v>
      </c>
      <c r="Q12">
        <f t="shared" si="0"/>
        <v>33</v>
      </c>
      <c r="R12">
        <f t="shared" si="1"/>
        <v>29</v>
      </c>
    </row>
    <row r="13" spans="1:18" x14ac:dyDescent="0.35">
      <c r="A13">
        <v>62</v>
      </c>
      <c r="B13" s="1" t="s">
        <v>12</v>
      </c>
      <c r="C13" s="1" t="s">
        <v>16</v>
      </c>
      <c r="D13" s="1">
        <v>21</v>
      </c>
      <c r="E13" s="2">
        <v>0.1636</v>
      </c>
      <c r="F13" s="2">
        <v>59.62</v>
      </c>
      <c r="G13" s="1">
        <v>3.2</v>
      </c>
      <c r="H13" s="1">
        <v>1</v>
      </c>
      <c r="I13" s="2">
        <v>32</v>
      </c>
      <c r="J13" s="2">
        <v>88</v>
      </c>
      <c r="K13" s="2">
        <v>7</v>
      </c>
      <c r="L13" s="2">
        <v>36</v>
      </c>
      <c r="M13" s="2">
        <v>7</v>
      </c>
      <c r="N13" s="2">
        <v>25</v>
      </c>
      <c r="O13" s="2">
        <v>37</v>
      </c>
      <c r="Q13">
        <f t="shared" si="0"/>
        <v>69</v>
      </c>
      <c r="R13">
        <f t="shared" si="1"/>
        <v>57</v>
      </c>
    </row>
    <row r="14" spans="1:18" x14ac:dyDescent="0.35">
      <c r="A14" s="3">
        <v>11</v>
      </c>
      <c r="B14" s="4" t="s">
        <v>14</v>
      </c>
      <c r="C14" s="4" t="s">
        <v>15</v>
      </c>
      <c r="D14" s="4">
        <v>21</v>
      </c>
      <c r="E14" s="5">
        <v>0.18640000000000001</v>
      </c>
      <c r="F14" s="5">
        <v>50.05</v>
      </c>
      <c r="G14" s="6">
        <v>3.8</v>
      </c>
      <c r="H14" s="4">
        <v>0.86</v>
      </c>
      <c r="I14" s="5">
        <v>27</v>
      </c>
      <c r="J14" s="5">
        <v>84</v>
      </c>
      <c r="K14" s="5">
        <v>8</v>
      </c>
      <c r="L14" s="5">
        <v>30</v>
      </c>
      <c r="M14" s="5">
        <v>4</v>
      </c>
      <c r="N14" s="5">
        <v>6.5</v>
      </c>
      <c r="O14" s="5">
        <v>12</v>
      </c>
      <c r="Q14">
        <f t="shared" si="0"/>
        <v>39</v>
      </c>
      <c r="R14">
        <f t="shared" si="1"/>
        <v>33.5</v>
      </c>
    </row>
    <row r="15" spans="1:18" x14ac:dyDescent="0.35">
      <c r="A15">
        <v>12</v>
      </c>
      <c r="B15" s="1" t="s">
        <v>14</v>
      </c>
      <c r="C15" s="1" t="s">
        <v>15</v>
      </c>
      <c r="D15" s="1">
        <v>21</v>
      </c>
      <c r="E15" s="2">
        <v>0.2056</v>
      </c>
      <c r="F15" s="2">
        <v>49.45</v>
      </c>
      <c r="G15" s="7">
        <v>3.8</v>
      </c>
      <c r="H15" s="1">
        <v>0.86</v>
      </c>
      <c r="I15" s="2">
        <v>28</v>
      </c>
      <c r="J15" s="2">
        <v>60</v>
      </c>
      <c r="K15" s="2">
        <v>2</v>
      </c>
      <c r="L15" s="2">
        <v>30</v>
      </c>
      <c r="M15" s="2">
        <v>3</v>
      </c>
      <c r="N15" s="2">
        <v>13</v>
      </c>
      <c r="O15" s="2">
        <v>15</v>
      </c>
      <c r="Q15">
        <f t="shared" si="0"/>
        <v>43</v>
      </c>
      <c r="R15">
        <f t="shared" si="1"/>
        <v>41</v>
      </c>
    </row>
    <row r="16" spans="1:18" x14ac:dyDescent="0.35">
      <c r="A16">
        <v>51</v>
      </c>
      <c r="B16" s="1" t="s">
        <v>14</v>
      </c>
      <c r="C16" s="1" t="s">
        <v>15</v>
      </c>
      <c r="D16" s="1">
        <v>21</v>
      </c>
      <c r="E16" s="2">
        <v>0.18459999999999999</v>
      </c>
      <c r="F16" s="2">
        <v>50.1</v>
      </c>
      <c r="G16" s="7">
        <v>3.8</v>
      </c>
      <c r="H16" s="1">
        <v>0.86</v>
      </c>
      <c r="I16" s="2">
        <v>25</v>
      </c>
      <c r="J16" s="2">
        <v>71</v>
      </c>
      <c r="K16" s="2">
        <v>6</v>
      </c>
      <c r="L16" s="2">
        <v>27</v>
      </c>
      <c r="M16" s="2">
        <v>6</v>
      </c>
      <c r="N16" s="2">
        <v>10</v>
      </c>
      <c r="O16" s="2">
        <v>14</v>
      </c>
      <c r="Q16">
        <f t="shared" si="0"/>
        <v>39</v>
      </c>
      <c r="R16">
        <f t="shared" si="1"/>
        <v>35</v>
      </c>
    </row>
    <row r="17" spans="1:18" x14ac:dyDescent="0.35">
      <c r="A17">
        <v>52</v>
      </c>
      <c r="B17" s="1" t="s">
        <v>14</v>
      </c>
      <c r="C17" s="1" t="s">
        <v>15</v>
      </c>
      <c r="D17" s="1">
        <v>21</v>
      </c>
      <c r="E17" s="2">
        <v>0.17269999999999999</v>
      </c>
      <c r="F17" s="2">
        <v>50.7</v>
      </c>
      <c r="G17" s="7">
        <v>3.8</v>
      </c>
      <c r="H17" s="1">
        <v>0.86</v>
      </c>
      <c r="I17" s="2">
        <v>21</v>
      </c>
      <c r="J17" s="2">
        <v>60</v>
      </c>
      <c r="K17" s="2">
        <v>5</v>
      </c>
      <c r="L17" s="2">
        <v>22</v>
      </c>
      <c r="M17" s="2">
        <v>2</v>
      </c>
      <c r="N17" s="2">
        <v>31</v>
      </c>
      <c r="O17" s="2">
        <v>39</v>
      </c>
      <c r="Q17">
        <f t="shared" si="0"/>
        <v>60</v>
      </c>
      <c r="R17">
        <f t="shared" si="1"/>
        <v>52</v>
      </c>
    </row>
    <row r="18" spans="1:18" x14ac:dyDescent="0.35">
      <c r="A18">
        <v>54</v>
      </c>
      <c r="B18" s="1" t="s">
        <v>14</v>
      </c>
      <c r="C18" s="1" t="s">
        <v>15</v>
      </c>
      <c r="D18" s="1">
        <v>21</v>
      </c>
      <c r="E18" s="2">
        <v>0.15609999999999999</v>
      </c>
      <c r="F18" s="2">
        <v>51.6</v>
      </c>
      <c r="G18" s="7">
        <v>3.8</v>
      </c>
      <c r="H18" s="1">
        <v>0.86</v>
      </c>
      <c r="I18" s="2">
        <v>13</v>
      </c>
      <c r="J18" s="2">
        <v>53</v>
      </c>
      <c r="K18" s="2">
        <v>2</v>
      </c>
      <c r="L18" s="2">
        <v>26</v>
      </c>
      <c r="M18" s="2">
        <v>2</v>
      </c>
      <c r="N18" s="2">
        <v>29</v>
      </c>
      <c r="O18" s="2">
        <v>33</v>
      </c>
      <c r="Q18">
        <f t="shared" si="0"/>
        <v>46</v>
      </c>
      <c r="R18">
        <f t="shared" si="1"/>
        <v>42</v>
      </c>
    </row>
    <row r="19" spans="1:18" x14ac:dyDescent="0.35">
      <c r="A19">
        <v>55</v>
      </c>
      <c r="B19" s="1" t="s">
        <v>14</v>
      </c>
      <c r="C19" s="1" t="s">
        <v>16</v>
      </c>
      <c r="D19" s="1">
        <v>21</v>
      </c>
      <c r="E19" s="2">
        <v>0.16800000000000001</v>
      </c>
      <c r="F19" s="2">
        <v>47.25</v>
      </c>
      <c r="G19" s="7">
        <v>3.8</v>
      </c>
      <c r="H19" s="1">
        <v>0.86</v>
      </c>
      <c r="I19" s="2">
        <v>41</v>
      </c>
      <c r="J19" s="2">
        <v>63</v>
      </c>
      <c r="K19" s="2">
        <v>4</v>
      </c>
      <c r="L19" s="2">
        <v>22</v>
      </c>
      <c r="M19" s="2">
        <v>1.5</v>
      </c>
      <c r="N19" s="2">
        <v>10</v>
      </c>
      <c r="O19" s="2">
        <v>15</v>
      </c>
      <c r="Q19">
        <f t="shared" si="0"/>
        <v>56</v>
      </c>
      <c r="R19">
        <f t="shared" si="1"/>
        <v>51</v>
      </c>
    </row>
    <row r="20" spans="1:18" x14ac:dyDescent="0.35">
      <c r="A20">
        <v>56</v>
      </c>
      <c r="B20" s="1" t="s">
        <v>14</v>
      </c>
      <c r="C20" s="1" t="s">
        <v>16</v>
      </c>
      <c r="D20" s="1">
        <v>21</v>
      </c>
      <c r="E20" s="2">
        <v>0.16350000000000001</v>
      </c>
      <c r="F20" s="2">
        <v>49.9</v>
      </c>
      <c r="G20" s="7">
        <v>3.8</v>
      </c>
      <c r="H20" s="1">
        <v>0.86</v>
      </c>
      <c r="I20" s="2">
        <v>41</v>
      </c>
      <c r="J20" s="2">
        <v>63</v>
      </c>
      <c r="K20" s="2">
        <v>4</v>
      </c>
      <c r="L20" s="2">
        <v>27</v>
      </c>
      <c r="M20" s="2">
        <v>2</v>
      </c>
      <c r="N20" s="2">
        <v>10</v>
      </c>
      <c r="O20" s="2">
        <v>37</v>
      </c>
      <c r="Q20">
        <f t="shared" si="0"/>
        <v>78</v>
      </c>
      <c r="R20">
        <f t="shared" si="1"/>
        <v>51</v>
      </c>
    </row>
    <row r="22" spans="1:18" x14ac:dyDescent="0.35">
      <c r="Q22">
        <f>_xlfn.STDEV.P(Q2:Q13)</f>
        <v>13.609828454302999</v>
      </c>
      <c r="R22">
        <f>_xlfn.STDEV.P(R2:R13)</f>
        <v>11.358045973376466</v>
      </c>
    </row>
    <row r="23" spans="1:18" x14ac:dyDescent="0.35">
      <c r="I23">
        <f>AVERAGE(I2:I13)</f>
        <v>28.458333333333332</v>
      </c>
      <c r="J23">
        <f t="shared" ref="J23:O23" si="2">AVERAGE(J2:J13)</f>
        <v>72.166666666666671</v>
      </c>
      <c r="K23">
        <f t="shared" si="2"/>
        <v>5.083333333333333</v>
      </c>
      <c r="L23">
        <f t="shared" si="2"/>
        <v>38.083333333333336</v>
      </c>
      <c r="M23">
        <f t="shared" si="2"/>
        <v>3.8333333333333335</v>
      </c>
      <c r="N23">
        <f t="shared" si="2"/>
        <v>18.416666666666668</v>
      </c>
      <c r="O23">
        <f t="shared" si="2"/>
        <v>23.083333333333332</v>
      </c>
      <c r="Q23">
        <f>AVERAGE(Q2:Q13)</f>
        <v>51.541666666666664</v>
      </c>
      <c r="R23">
        <f>AVERAGE(R2:R13)</f>
        <v>46.875</v>
      </c>
    </row>
    <row r="24" spans="1:18" x14ac:dyDescent="0.35">
      <c r="I24">
        <f>AVERAGE(I14:I20)</f>
        <v>28</v>
      </c>
      <c r="J24">
        <f t="shared" ref="J24:O24" si="3">AVERAGE(J14:J20)</f>
        <v>64.857142857142861</v>
      </c>
      <c r="K24">
        <f t="shared" si="3"/>
        <v>4.4285714285714288</v>
      </c>
      <c r="L24">
        <f t="shared" si="3"/>
        <v>26.285714285714285</v>
      </c>
      <c r="M24">
        <f t="shared" si="3"/>
        <v>2.9285714285714284</v>
      </c>
      <c r="N24">
        <f t="shared" si="3"/>
        <v>15.642857142857142</v>
      </c>
      <c r="O24">
        <f t="shared" si="3"/>
        <v>23.571428571428573</v>
      </c>
      <c r="Q24">
        <f>AVERAGE(Q14:Q20)</f>
        <v>51.571428571428569</v>
      </c>
      <c r="R24">
        <f>AVERAGE(R14:R20)</f>
        <v>43.642857142857146</v>
      </c>
    </row>
    <row r="25" spans="1:18" x14ac:dyDescent="0.35">
      <c r="Q25">
        <f>_xlfn.STDEV.P(Q14:Q20)</f>
        <v>13.145962366088391</v>
      </c>
      <c r="R25">
        <f>_xlfn.STDEV.P(R14:R20)</f>
        <v>7.2245330334230191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salla kim</dc:creator>
  <cp:lastModifiedBy>salla kim</cp:lastModifiedBy>
  <dcterms:created xsi:type="dcterms:W3CDTF">2025-07-04T05:58:17Z</dcterms:created>
  <dcterms:modified xsi:type="dcterms:W3CDTF">2025-10-31T05:47:19Z</dcterms:modified>
</cp:coreProperties>
</file>